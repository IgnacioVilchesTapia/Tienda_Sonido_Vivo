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s de Usuario" sheetId="1" state="visible" r:id="rId3"/>
    <sheet name="Requerimiento Inicial" sheetId="2" state="visible" r:id="rId4"/>
    <sheet name="Sprints" sheetId="3" state="visible" r:id="rId5"/>
    <sheet name="Guía de us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<sst xmlns="http://schemas.openxmlformats.org/spreadsheetml/2006/main" count="348" uniqueCount="198">
  <si>
    <t xml:space="preserve">ID</t>
  </si>
  <si>
    <t xml:space="preserve">Req.</t>
  </si>
  <si>
    <t xml:space="preserve">Épica</t>
  </si>
  <si>
    <t xml:space="preserve">Como… (rol)</t>
  </si>
  <si>
    <t xml:space="preserve">Quiero… (funcionalidad)</t>
  </si>
  <si>
    <t xml:space="preserve">Para… (beneficio)</t>
  </si>
  <si>
    <t xml:space="preserve">Criterios de aceptación</t>
  </si>
  <si>
    <t xml:space="preserve">Story
Points</t>
  </si>
  <si>
    <t xml:space="preserve">Prioridad
(MoSCoW)</t>
  </si>
  <si>
    <t xml:space="preserve">Sprint</t>
  </si>
  <si>
    <t xml:space="preserve">Responsable</t>
  </si>
  <si>
    <t xml:space="preserve">Estado</t>
  </si>
  <si>
    <t xml:space="preserve">Issue
GitHub</t>
  </si>
  <si>
    <t xml:space="preserve">HU-01</t>
  </si>
  <si>
    <t xml:space="preserve">RF-01</t>
  </si>
  <si>
    <t xml:space="preserve">Acceso y cuentas</t>
  </si>
  <si>
    <t xml:space="preserve">usuario del sistema</t>
  </si>
  <si>
    <t xml:space="preserve">iniciar sesión con mi correo y contraseña</t>
  </si>
  <si>
    <t xml:space="preserve">acceder a las funciones que corresponden a mi perfil</t>
  </si>
  <si>
    <t xml:space="preserve">1) El correo es obligatorio, máx. 100 caracteres y solo admite @duoc.cl, @profesor.duoc.cl y @gmail.com. 2) La contraseña es obligatoria y tiene entre 4 y 10 caracteres. 3) Si un dato es inválido se muestra un mensaje bajo el campo, sin recargar la página.</t>
  </si>
  <si>
    <t xml:space="preserve">Debe</t>
  </si>
  <si>
    <t xml:space="preserve">Sprint 1</t>
  </si>
  <si>
    <t xml:space="preserve">Integrante B</t>
  </si>
  <si>
    <t xml:space="preserve">En progreso</t>
  </si>
  <si>
    <t xml:space="preserve">#1</t>
  </si>
  <si>
    <t xml:space="preserve">HU-02</t>
  </si>
  <si>
    <t xml:space="preserve">RF-02</t>
  </si>
  <si>
    <t xml:space="preserve">cliente nuevo</t>
  </si>
  <si>
    <t xml:space="preserve">registrarme con mis datos personales</t>
  </si>
  <si>
    <t xml:space="preserve">poder comprar en línea sin escribir por WhatsApp</t>
  </si>
  <si>
    <t xml:space="preserve">1) RUN sin puntos ni guion, entre 7 y 9 caracteres, con dígito verificador válido. 2) Nombre máx. 50 y apellidos máx. 100. 3) Al elegir región se filtran las comunas. 4) La confirmación de contraseña debe coincidir.</t>
  </si>
  <si>
    <t xml:space="preserve">Pendiente</t>
  </si>
  <si>
    <t xml:space="preserve">#3</t>
  </si>
  <si>
    <t xml:space="preserve">HU-03</t>
  </si>
  <si>
    <t xml:space="preserve">RF-03</t>
  </si>
  <si>
    <t xml:space="preserve">Catálogo</t>
  </si>
  <si>
    <t xml:space="preserve">cliente</t>
  </si>
  <si>
    <t xml:space="preserve">ver el catálogo con precio y disponibilidad</t>
  </si>
  <si>
    <t xml:space="preserve">saber qué hay en stock sin preguntarle a un vendedor</t>
  </si>
  <si>
    <t xml:space="preserve">1) Cada producto muestra imagen, nombre, marca, precio y estado de stock. 2) Los productos sin stock aparecen marcados y no se pueden agregar al carrito.</t>
  </si>
  <si>
    <t xml:space="preserve">Integrante A</t>
  </si>
  <si>
    <t xml:space="preserve">Terminado</t>
  </si>
  <si>
    <t xml:space="preserve">—</t>
  </si>
  <si>
    <t xml:space="preserve">HU-04</t>
  </si>
  <si>
    <t xml:space="preserve">RF-04</t>
  </si>
  <si>
    <t xml:space="preserve">buscar y filtrar los productos</t>
  </si>
  <si>
    <t xml:space="preserve">encontrar rápido lo que necesito entre 340 referencias</t>
  </si>
  <si>
    <t xml:space="preserve">1) Se puede filtrar por categoría. 2) La búsqueda por texto considera nombre, marca y código. 3) Se puede ordenar por precio o por nombre. 4) Si no hay coincidencias se muestra un mensaje.</t>
  </si>
  <si>
    <t xml:space="preserve">HU-05</t>
  </si>
  <si>
    <t xml:space="preserve">RF-05</t>
  </si>
  <si>
    <t xml:space="preserve">ver la ficha completa de un producto</t>
  </si>
  <si>
    <t xml:space="preserve">decidir la compra con toda la información a la vista</t>
  </si>
  <si>
    <t xml:space="preserve">1) Muestra descripción, marca, modelo, código y stock. 2) Incluye productos relacionados de la misma categoría. 3) Si el código no existe se muestra un estado de 'producto no encontrado'.</t>
  </si>
  <si>
    <t xml:space="preserve">HU-06</t>
  </si>
  <si>
    <t xml:space="preserve">RF-06</t>
  </si>
  <si>
    <t xml:space="preserve">Compra</t>
  </si>
  <si>
    <t xml:space="preserve">agregar productos a un carrito</t>
  </si>
  <si>
    <t xml:space="preserve">reunir varios artículos antes de confirmar el pedido</t>
  </si>
  <si>
    <t xml:space="preserve">1) No se puede agregar más unidades que el stock disponible. 2) Las cantidades son enteras y mínimo 1. 3) El carrito conserva su contenido al cerrar y volver a abrir el navegador.</t>
  </si>
  <si>
    <t xml:space="preserve">HU-07</t>
  </si>
  <si>
    <t xml:space="preserve">RF-07</t>
  </si>
  <si>
    <t xml:space="preserve">confirmar mi pedido en línea</t>
  </si>
  <si>
    <t xml:space="preserve">que la tienda lo reciba de forma centralizada y no por mensajería</t>
  </si>
  <si>
    <t xml:space="preserve">1) El pedido queda asociado a mi cuenta. 2) Se registra fecha, productos, cantidades y total. 3) No se puede confirmar con el carrito vacío.</t>
  </si>
  <si>
    <t xml:space="preserve">Sprint 2</t>
  </si>
  <si>
    <t xml:space="preserve">Por asignar</t>
  </si>
  <si>
    <t xml:space="preserve">HU-08</t>
  </si>
  <si>
    <t xml:space="preserve">RF-08</t>
  </si>
  <si>
    <t xml:space="preserve">elegir entre retiro en tienda y despacho</t>
  </si>
  <si>
    <t xml:space="preserve">recibir el pedido de la forma que me acomode</t>
  </si>
  <si>
    <t xml:space="preserve">1) La opción se elige al confirmar el pedido. 2) Si elijo despacho se usa la dirección de mi cuenta. 3) La opción queda registrada en el pedido.</t>
  </si>
  <si>
    <t xml:space="preserve">Debería</t>
  </si>
  <si>
    <t xml:space="preserve">HU-09</t>
  </si>
  <si>
    <t xml:space="preserve">RF-09</t>
  </si>
  <si>
    <t xml:space="preserve">Pedidos</t>
  </si>
  <si>
    <t xml:space="preserve">consultar el estado de mi pedido</t>
  </si>
  <si>
    <t xml:space="preserve">saber cuándo llega sin tener que preguntar</t>
  </si>
  <si>
    <t xml:space="preserve">1) Veo únicamente mis pedidos. 2) Los estados son: en preparación, despachado y entregado. 3) El estado se actualiza cuando el vendedor lo modifica.</t>
  </si>
  <si>
    <t xml:space="preserve">HU-10</t>
  </si>
  <si>
    <t xml:space="preserve">RF-10</t>
  </si>
  <si>
    <t xml:space="preserve">Inventario</t>
  </si>
  <si>
    <t xml:space="preserve">vendedor</t>
  </si>
  <si>
    <t xml:space="preserve">que el stock se descuente al confirmar una venta</t>
  </si>
  <si>
    <t xml:space="preserve">evitar vender un producto que ya no está en bodega</t>
  </si>
  <si>
    <t xml:space="preserve">1) Al confirmar el pedido se descuentan las unidades. 2) Dos vendedores no pueden comprometer la misma unidad. 3) Si la venta falla el stock no se modifica.</t>
  </si>
  <si>
    <t xml:space="preserve">HU-11</t>
  </si>
  <si>
    <t xml:space="preserve">RF-11</t>
  </si>
  <si>
    <t xml:space="preserve">administrador</t>
  </si>
  <si>
    <t xml:space="preserve">recibir una alerta cuando un producto llega a su stock crítico</t>
  </si>
  <si>
    <t xml:space="preserve">reponerlo antes de quedar sin unidades</t>
  </si>
  <si>
    <t xml:space="preserve">1) Cada producto tiene su propio umbral crítico. 2) Los productos en o bajo el umbral se destacan en el panel. 3) El panel muestra el total de productos en esa condición.</t>
  </si>
  <si>
    <t xml:space="preserve">Integrante C</t>
  </si>
  <si>
    <t xml:space="preserve">HU-12</t>
  </si>
  <si>
    <t xml:space="preserve">RF-12</t>
  </si>
  <si>
    <t xml:space="preserve">Administración</t>
  </si>
  <si>
    <t xml:space="preserve">crear, editar y dar de baja productos</t>
  </si>
  <si>
    <t xml:space="preserve">mantener el catálogo actualizado sin depender del archivo Excel</t>
  </si>
  <si>
    <t xml:space="preserve">1) Código obligatorio mín. 3 caracteres. 2) Precio mín. 0 con decimales; stock entero mín. 0. 3) La baja de un producto lo elimina del listado y no reaparece al filtrar.</t>
  </si>
  <si>
    <t xml:space="preserve">HU-13</t>
  </si>
  <si>
    <t xml:space="preserve">RF-13</t>
  </si>
  <si>
    <t xml:space="preserve">crear, editar y desactivar usuarios asignando su perfil</t>
  </si>
  <si>
    <t xml:space="preserve">controlar quién accede a cada parte del sistema</t>
  </si>
  <si>
    <t xml:space="preserve">1) Aplican las mismas validaciones del registro público. 2) El perfil se elige entre Administrador, Vendedor y Cliente. 3) El listado permite buscar por RUN, nombre o correo.</t>
  </si>
  <si>
    <t xml:space="preserve">HU-14</t>
  </si>
  <si>
    <t xml:space="preserve">RF-14</t>
  </si>
  <si>
    <t xml:space="preserve">Seguridad</t>
  </si>
  <si>
    <t xml:space="preserve">que cada perfil acceda solo a lo que le corresponde</t>
  </si>
  <si>
    <t xml:space="preserve">proteger los datos de ventas y de clientes</t>
  </si>
  <si>
    <t xml:space="preserve">1) Sin sesión iniciada solo se accede al login y al registro. 2) El vendedor no accede a la gestión de usuarios. 3) El cliente solo accede a la tienda y a sus propios pedidos.</t>
  </si>
  <si>
    <t xml:space="preserve">HU-15</t>
  </si>
  <si>
    <t xml:space="preserve">RF-15</t>
  </si>
  <si>
    <t xml:space="preserve">Experiencia</t>
  </si>
  <si>
    <t xml:space="preserve">usar el sitio desde el teléfono igual que desde el computador</t>
  </si>
  <si>
    <t xml:space="preserve">trabajar desde la bodega o comprar desde donde esté</t>
  </si>
  <si>
    <t xml:space="preserve">1) Funciona a 360, 768 y 1280 px de ancho. 2) Bajo 768 px el menú se colapsa en hamburguesa. 3) Las tablas del panel permiten desplazamiento horizontal sin romper el diseño.</t>
  </si>
  <si>
    <t xml:space="preserve">Total de story points del backlog</t>
  </si>
  <si>
    <t xml:space="preserve">Código</t>
  </si>
  <si>
    <t xml:space="preserve">Nombre del requerimiento</t>
  </si>
  <si>
    <t xml:space="preserve">Tipo</t>
  </si>
  <si>
    <t xml:space="preserve">Clasificación</t>
  </si>
  <si>
    <t xml:space="preserve">Actores</t>
  </si>
  <si>
    <t xml:space="preserve">Historia
relacionada</t>
  </si>
  <si>
    <t xml:space="preserve">R.1</t>
  </si>
  <si>
    <t xml:space="preserve">Autenticar usuario al iniciar sesión</t>
  </si>
  <si>
    <t xml:space="preserve">Funcional</t>
  </si>
  <si>
    <t xml:space="preserve">Funcional de sistema</t>
  </si>
  <si>
    <t xml:space="preserve">Administrador, Vendedor, Cliente</t>
  </si>
  <si>
    <t xml:space="preserve">Aprobado</t>
  </si>
  <si>
    <t xml:space="preserve">R.2</t>
  </si>
  <si>
    <t xml:space="preserve">Registrar cliente en la tienda</t>
  </si>
  <si>
    <t xml:space="preserve">Funcional de usuario</t>
  </si>
  <si>
    <t xml:space="preserve">Cliente</t>
  </si>
  <si>
    <t xml:space="preserve">R.3</t>
  </si>
  <si>
    <t xml:space="preserve">Consultar el catálogo con disponibilidad actualizada</t>
  </si>
  <si>
    <t xml:space="preserve">Cliente, Vendedor</t>
  </si>
  <si>
    <t xml:space="preserve">R.4</t>
  </si>
  <si>
    <t xml:space="preserve">Buscar y filtrar productos del catálogo</t>
  </si>
  <si>
    <t xml:space="preserve">R.5</t>
  </si>
  <si>
    <t xml:space="preserve">Ver el detalle de un producto</t>
  </si>
  <si>
    <t xml:space="preserve">R.6</t>
  </si>
  <si>
    <t xml:space="preserve">Administrar el carrito de compras</t>
  </si>
  <si>
    <t xml:space="preserve">R.7</t>
  </si>
  <si>
    <t xml:space="preserve">Generar un pedido en línea</t>
  </si>
  <si>
    <t xml:space="preserve">Asignado</t>
  </si>
  <si>
    <t xml:space="preserve">R.8</t>
  </si>
  <si>
    <t xml:space="preserve">Elegir despacho a domicilio o retiro en tienda</t>
  </si>
  <si>
    <t xml:space="preserve">Solicitado</t>
  </si>
  <si>
    <t xml:space="preserve">R.9</t>
  </si>
  <si>
    <t xml:space="preserve">Consultar el estado de un pedido</t>
  </si>
  <si>
    <t xml:space="preserve">R.10</t>
  </si>
  <si>
    <t xml:space="preserve">Descontar stock automáticamente al vender</t>
  </si>
  <si>
    <t xml:space="preserve">Vendedor, Administrador</t>
  </si>
  <si>
    <t xml:space="preserve">R.11</t>
  </si>
  <si>
    <t xml:space="preserve">Alertar por stock crítico</t>
  </si>
  <si>
    <t xml:space="preserve">Administrador, Vendedor</t>
  </si>
  <si>
    <t xml:space="preserve">R.12</t>
  </si>
  <si>
    <t xml:space="preserve">Mantener el catálogo de productos</t>
  </si>
  <si>
    <t xml:space="preserve">R.13</t>
  </si>
  <si>
    <t xml:space="preserve">Mantener los usuarios y sus perfiles</t>
  </si>
  <si>
    <t xml:space="preserve">Administrador</t>
  </si>
  <si>
    <t xml:space="preserve">R.14</t>
  </si>
  <si>
    <t xml:space="preserve">Restringir el acceso según el perfil</t>
  </si>
  <si>
    <t xml:space="preserve">No Funcional</t>
  </si>
  <si>
    <t xml:space="preserve">No funcional de producto</t>
  </si>
  <si>
    <t xml:space="preserve">R.15</t>
  </si>
  <si>
    <t xml:space="preserve">Interfaz responsiva en teléfono, tableta y escritorio</t>
  </si>
  <si>
    <t xml:space="preserve">Objetivo</t>
  </si>
  <si>
    <t xml:space="preserve">Entrega</t>
  </si>
  <si>
    <t xml:space="preserve">Historias incluidas</t>
  </si>
  <si>
    <t xml:space="preserve">Puntos
comprometidos</t>
  </si>
  <si>
    <t xml:space="preserve">Construir la base del frontend: catálogo navegable, carrito en el cliente, formularios validados y panel de administración maquetado.</t>
  </si>
  <si>
    <t xml:space="preserve">Evaluación 1</t>
  </si>
  <si>
    <t xml:space="preserve">HU-01 a HU-06, HU-11, HU-12, HU-13, HU-15</t>
  </si>
  <si>
    <t xml:space="preserve">Conectar el frontend con la API REST: pedidos reales, control de acceso por rol y descuento automático de stock.</t>
  </si>
  <si>
    <t xml:space="preserve">Evaluación 2</t>
  </si>
  <si>
    <t xml:space="preserve">HU-07, HU-08, HU-09, HU-10, HU-14</t>
  </si>
  <si>
    <t xml:space="preserve">Sprint 3</t>
  </si>
  <si>
    <t xml:space="preserve">Despliegue en la nube, reportes de venta e historial de compras por cliente.</t>
  </si>
  <si>
    <t xml:space="preserve">Evaluación 3</t>
  </si>
  <si>
    <t xml:space="preserve">Por definir en la planificación del sprint</t>
  </si>
  <si>
    <t xml:space="preserve">Velocidad del equipo</t>
  </si>
  <si>
    <t xml:space="preserve">Se calcula al cerrar el Sprint 1: puntos efectivamente terminados dividido por la duración del sprint. Sirve para estimar cuánto puede comprometer el equipo en el Sprint 2.</t>
  </si>
  <si>
    <t xml:space="preserve">Cómo se usa esta planilla</t>
  </si>
  <si>
    <t xml:space="preserve">Historia de usuario</t>
  </si>
  <si>
    <t xml:space="preserve">Describe una necesidad desde el punto de vista de quien la tiene, con el formato «Como [rol] quiero [funcionalidad] para [beneficio]». No dice cómo se implementa: eso lo decide el equipo.</t>
  </si>
  <si>
    <t xml:space="preserve">Condiciones verificables que deben cumplirse para dar la historia por terminada. Si no se puede comprobar con un sí o un no, no es un criterio de aceptación.</t>
  </si>
  <si>
    <t xml:space="preserve">Story points</t>
  </si>
  <si>
    <t xml:space="preserve">Estimación relativa del esfuerzo, no de las horas. Se usa la serie de Fibonacci (1, 2, 3, 5, 8, 13, 21): una historia de 8 cuesta aproximadamente el doble que una de 5. Una historia sobre 13 conviene dividirla.</t>
  </si>
  <si>
    <t xml:space="preserve">Prioridad (MoSCoW)</t>
  </si>
  <si>
    <t xml:space="preserve">Debe: sin esto el sistema no sirve. Debería: importante pero hay alternativa temporal. Podría: mejora deseable. No por ahora: queda fuera del alcance acordado.</t>
  </si>
  <si>
    <t xml:space="preserve">Cada sprint corresponde a una evaluación parcial de la asignatura. Al cerrarlo se revisa qué historias quedaron terminadas y se calcula la velocidad del equipo.</t>
  </si>
  <si>
    <t xml:space="preserve">Pendiente: en el backlog. En progreso: hay una rama abierta trabajándola. En revisión: hay un pull request esperando aprobación. Terminado: fusionado en main y cumpliendo todos sus criterios.</t>
  </si>
  <si>
    <t xml:space="preserve">Issue GitHub</t>
  </si>
  <si>
    <t xml:space="preserve">Número del issue que representa la historia en el repositorio. Se registra aquí para poder trazar cada historia hasta la rama, los commits y el pull request que la implementaron.</t>
  </si>
  <si>
    <t xml:space="preserve">Definición de terminado</t>
  </si>
  <si>
    <t xml:space="preserve">Una historia está terminada cuando: cumple todos sus criterios de aceptación, el código está fusionado en main mediante pull request revisado por otro integrante, la vista funciona en 360, 768 y 1280 px, y el issue quedó cerrado.</t>
  </si>
  <si>
    <t xml:space="preserve">Celdas editables</t>
  </si>
  <si>
    <t xml:space="preserve">En la hoja «Historias de Usuario» las columnas Story Points, Prioridad y Estado tienen lista desplegable. Responsable e Issue GitHub se completan a mano a medida que se abren los issues.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</si>
</sst>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color rgb="FF16232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32F"/>
        <bgColor rgb="FF003300"/>
      </patternFill>
    </fill>
    <fill>
      <patternFill patternType="solid">
        <fgColor rgb="FFE0A13C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3B8"/>
      </left>
      <right style="thin">
        <color rgb="FFC9C3B8"/>
      </right>
      <top style="thin">
        <color rgb="FFC9C3B8"/>
      </top>
      <bottom style="thin">
        <color rgb="FFC9C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3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A13C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30"/>
    <col collapsed="false" customWidth="true" hidden="false" outlineLevel="0" max="7" min="7" style="0" width="55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9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78" hidden="false" customHeight="true" outlineLevel="0" collapsed="false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n">
        <v>5</v>
      </c>
      <c r="I2" s="2" t="s">
        <v>20</v>
      </c>
      <c r="J2" s="2" t="s">
        <v>21</v>
      </c>
      <c r="K2" s="3" t="s">
        <v>22</v>
      </c>
      <c r="L2" s="2" t="s">
        <v>23</v>
      </c>
      <c r="M2" s="2" t="s">
        <v>24</v>
      </c>
    </row>
    <row r="3" customFormat="false" ht="78" hidden="false" customHeight="true" outlineLevel="0" collapsed="false">
      <c r="A3" s="2" t="s">
        <v>25</v>
      </c>
      <c r="B3" s="2" t="s">
        <v>26</v>
      </c>
      <c r="C3" s="3" t="s">
        <v>15</v>
      </c>
      <c r="D3" s="3" t="s">
        <v>27</v>
      </c>
      <c r="E3" s="3" t="s">
        <v>28</v>
      </c>
      <c r="F3" s="3" t="s">
        <v>29</v>
      </c>
      <c r="G3" s="3" t="s">
        <v>30</v>
      </c>
      <c r="H3" s="2" t="n">
        <v>8</v>
      </c>
      <c r="I3" s="2" t="s">
        <v>20</v>
      </c>
      <c r="J3" s="2" t="s">
        <v>21</v>
      </c>
      <c r="K3" s="3" t="s">
        <v>22</v>
      </c>
      <c r="L3" s="2" t="s">
        <v>31</v>
      </c>
      <c r="M3" s="2" t="s">
        <v>32</v>
      </c>
    </row>
    <row r="4" customFormat="false" ht="78" hidden="false" customHeight="true" outlineLevel="0" collapsed="false">
      <c r="A4" s="2" t="s">
        <v>33</v>
      </c>
      <c r="B4" s="2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2" t="n">
        <v>5</v>
      </c>
      <c r="I4" s="2" t="s">
        <v>20</v>
      </c>
      <c r="J4" s="2" t="s">
        <v>21</v>
      </c>
      <c r="K4" s="3" t="s">
        <v>40</v>
      </c>
      <c r="L4" s="2" t="s">
        <v>41</v>
      </c>
      <c r="M4" s="2" t="s">
        <v>42</v>
      </c>
    </row>
    <row r="5" customFormat="false" ht="78" hidden="false" customHeight="true" outlineLevel="0" collapsed="false">
      <c r="A5" s="2" t="s">
        <v>43</v>
      </c>
      <c r="B5" s="2" t="s">
        <v>44</v>
      </c>
      <c r="C5" s="3" t="s">
        <v>35</v>
      </c>
      <c r="D5" s="3" t="s">
        <v>36</v>
      </c>
      <c r="E5" s="3" t="s">
        <v>45</v>
      </c>
      <c r="F5" s="3" t="s">
        <v>46</v>
      </c>
      <c r="G5" s="3" t="s">
        <v>47</v>
      </c>
      <c r="H5" s="2" t="n">
        <v>3</v>
      </c>
      <c r="I5" s="2" t="s">
        <v>20</v>
      </c>
      <c r="J5" s="2" t="s">
        <v>21</v>
      </c>
      <c r="K5" s="3" t="s">
        <v>40</v>
      </c>
      <c r="L5" s="2" t="s">
        <v>41</v>
      </c>
      <c r="M5" s="2" t="s">
        <v>42</v>
      </c>
    </row>
    <row r="6" customFormat="false" ht="78" hidden="false" customHeight="true" outlineLevel="0" collapsed="false">
      <c r="A6" s="2" t="s">
        <v>48</v>
      </c>
      <c r="B6" s="2" t="s">
        <v>49</v>
      </c>
      <c r="C6" s="3" t="s">
        <v>35</v>
      </c>
      <c r="D6" s="3" t="s">
        <v>36</v>
      </c>
      <c r="E6" s="3" t="s">
        <v>50</v>
      </c>
      <c r="F6" s="3" t="s">
        <v>51</v>
      </c>
      <c r="G6" s="3" t="s">
        <v>52</v>
      </c>
      <c r="H6" s="2" t="n">
        <v>3</v>
      </c>
      <c r="I6" s="2" t="s">
        <v>20</v>
      </c>
      <c r="J6" s="2" t="s">
        <v>21</v>
      </c>
      <c r="K6" s="3" t="s">
        <v>40</v>
      </c>
      <c r="L6" s="2" t="s">
        <v>41</v>
      </c>
      <c r="M6" s="2" t="s">
        <v>42</v>
      </c>
    </row>
    <row r="7" customFormat="false" ht="78" hidden="false" customHeight="true" outlineLevel="0" collapsed="false">
      <c r="A7" s="2" t="s">
        <v>53</v>
      </c>
      <c r="B7" s="2" t="s">
        <v>54</v>
      </c>
      <c r="C7" s="3" t="s">
        <v>55</v>
      </c>
      <c r="D7" s="3" t="s">
        <v>36</v>
      </c>
      <c r="E7" s="3" t="s">
        <v>56</v>
      </c>
      <c r="F7" s="3" t="s">
        <v>57</v>
      </c>
      <c r="G7" s="3" t="s">
        <v>58</v>
      </c>
      <c r="H7" s="2" t="n">
        <v>8</v>
      </c>
      <c r="I7" s="2" t="s">
        <v>20</v>
      </c>
      <c r="J7" s="2" t="s">
        <v>21</v>
      </c>
      <c r="K7" s="3" t="s">
        <v>40</v>
      </c>
      <c r="L7" s="2" t="s">
        <v>23</v>
      </c>
      <c r="M7" s="2" t="s">
        <v>42</v>
      </c>
    </row>
    <row r="8" customFormat="false" ht="78" hidden="false" customHeight="true" outlineLevel="0" collapsed="false">
      <c r="A8" s="2" t="s">
        <v>59</v>
      </c>
      <c r="B8" s="2" t="s">
        <v>60</v>
      </c>
      <c r="C8" s="3" t="s">
        <v>55</v>
      </c>
      <c r="D8" s="3" t="s">
        <v>36</v>
      </c>
      <c r="E8" s="3" t="s">
        <v>61</v>
      </c>
      <c r="F8" s="3" t="s">
        <v>62</v>
      </c>
      <c r="G8" s="3" t="s">
        <v>63</v>
      </c>
      <c r="H8" s="2" t="n">
        <v>5</v>
      </c>
      <c r="I8" s="2" t="s">
        <v>20</v>
      </c>
      <c r="J8" s="2" t="s">
        <v>64</v>
      </c>
      <c r="K8" s="3" t="s">
        <v>65</v>
      </c>
      <c r="L8" s="2" t="s">
        <v>31</v>
      </c>
      <c r="M8" s="2" t="s">
        <v>42</v>
      </c>
    </row>
    <row r="9" customFormat="false" ht="78" hidden="false" customHeight="true" outlineLevel="0" collapsed="false">
      <c r="A9" s="2" t="s">
        <v>66</v>
      </c>
      <c r="B9" s="2" t="s">
        <v>67</v>
      </c>
      <c r="C9" s="3" t="s">
        <v>55</v>
      </c>
      <c r="D9" s="3" t="s">
        <v>36</v>
      </c>
      <c r="E9" s="3" t="s">
        <v>68</v>
      </c>
      <c r="F9" s="3" t="s">
        <v>69</v>
      </c>
      <c r="G9" s="3" t="s">
        <v>70</v>
      </c>
      <c r="H9" s="2" t="n">
        <v>3</v>
      </c>
      <c r="I9" s="2" t="s">
        <v>71</v>
      </c>
      <c r="J9" s="2" t="s">
        <v>64</v>
      </c>
      <c r="K9" s="3" t="s">
        <v>65</v>
      </c>
      <c r="L9" s="2" t="s">
        <v>31</v>
      </c>
      <c r="M9" s="2" t="s">
        <v>42</v>
      </c>
    </row>
    <row r="10" customFormat="false" ht="78" hidden="false" customHeight="true" outlineLevel="0" collapsed="false">
      <c r="A10" s="2" t="s">
        <v>72</v>
      </c>
      <c r="B10" s="2" t="s">
        <v>73</v>
      </c>
      <c r="C10" s="3" t="s">
        <v>74</v>
      </c>
      <c r="D10" s="3" t="s">
        <v>36</v>
      </c>
      <c r="E10" s="3" t="s">
        <v>75</v>
      </c>
      <c r="F10" s="3" t="s">
        <v>76</v>
      </c>
      <c r="G10" s="3" t="s">
        <v>77</v>
      </c>
      <c r="H10" s="2" t="n">
        <v>5</v>
      </c>
      <c r="I10" s="2" t="s">
        <v>20</v>
      </c>
      <c r="J10" s="2" t="s">
        <v>64</v>
      </c>
      <c r="K10" s="3" t="s">
        <v>65</v>
      </c>
      <c r="L10" s="2" t="s">
        <v>31</v>
      </c>
      <c r="M10" s="2" t="s">
        <v>42</v>
      </c>
    </row>
    <row r="11" customFormat="false" ht="78" hidden="false" customHeight="true" outlineLevel="0" collapsed="false">
      <c r="A11" s="2" t="s">
        <v>78</v>
      </c>
      <c r="B11" s="2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2" t="n">
        <v>5</v>
      </c>
      <c r="I11" s="2" t="s">
        <v>20</v>
      </c>
      <c r="J11" s="2" t="s">
        <v>64</v>
      </c>
      <c r="K11" s="3" t="s">
        <v>65</v>
      </c>
      <c r="L11" s="2" t="s">
        <v>31</v>
      </c>
      <c r="M11" s="2" t="s">
        <v>42</v>
      </c>
    </row>
    <row r="12" customFormat="false" ht="78" hidden="false" customHeight="true" outlineLevel="0" collapsed="false">
      <c r="A12" s="2" t="s">
        <v>85</v>
      </c>
      <c r="B12" s="2" t="s">
        <v>86</v>
      </c>
      <c r="C12" s="3" t="s">
        <v>80</v>
      </c>
      <c r="D12" s="3" t="s">
        <v>87</v>
      </c>
      <c r="E12" s="3" t="s">
        <v>88</v>
      </c>
      <c r="F12" s="3" t="s">
        <v>89</v>
      </c>
      <c r="G12" s="3" t="s">
        <v>90</v>
      </c>
      <c r="H12" s="2" t="n">
        <v>3</v>
      </c>
      <c r="I12" s="2" t="s">
        <v>20</v>
      </c>
      <c r="J12" s="2" t="s">
        <v>21</v>
      </c>
      <c r="K12" s="3" t="s">
        <v>91</v>
      </c>
      <c r="L12" s="2" t="s">
        <v>31</v>
      </c>
      <c r="M12" s="2" t="s">
        <v>42</v>
      </c>
    </row>
    <row r="13" customFormat="false" ht="78" hidden="false" customHeight="true" outlineLevel="0" collapsed="false">
      <c r="A13" s="2" t="s">
        <v>92</v>
      </c>
      <c r="B13" s="2" t="s">
        <v>93</v>
      </c>
      <c r="C13" s="3" t="s">
        <v>94</v>
      </c>
      <c r="D13" s="3" t="s">
        <v>87</v>
      </c>
      <c r="E13" s="3" t="s">
        <v>95</v>
      </c>
      <c r="F13" s="3" t="s">
        <v>96</v>
      </c>
      <c r="G13" s="3" t="s">
        <v>97</v>
      </c>
      <c r="H13" s="2" t="n">
        <v>13</v>
      </c>
      <c r="I13" s="2" t="s">
        <v>20</v>
      </c>
      <c r="J13" s="2" t="s">
        <v>21</v>
      </c>
      <c r="K13" s="3" t="s">
        <v>91</v>
      </c>
      <c r="L13" s="2" t="s">
        <v>31</v>
      </c>
      <c r="M13" s="2" t="s">
        <v>42</v>
      </c>
    </row>
    <row r="14" customFormat="false" ht="78" hidden="false" customHeight="true" outlineLevel="0" collapsed="false">
      <c r="A14" s="2" t="s">
        <v>98</v>
      </c>
      <c r="B14" s="2" t="s">
        <v>99</v>
      </c>
      <c r="C14" s="3" t="s">
        <v>94</v>
      </c>
      <c r="D14" s="3" t="s">
        <v>87</v>
      </c>
      <c r="E14" s="3" t="s">
        <v>100</v>
      </c>
      <c r="F14" s="3" t="s">
        <v>101</v>
      </c>
      <c r="G14" s="3" t="s">
        <v>102</v>
      </c>
      <c r="H14" s="2" t="n">
        <v>13</v>
      </c>
      <c r="I14" s="2" t="s">
        <v>20</v>
      </c>
      <c r="J14" s="2" t="s">
        <v>21</v>
      </c>
      <c r="K14" s="3" t="s">
        <v>91</v>
      </c>
      <c r="L14" s="2" t="s">
        <v>31</v>
      </c>
      <c r="M14" s="2" t="s">
        <v>42</v>
      </c>
    </row>
    <row r="15" customFormat="false" ht="78" hidden="false" customHeight="true" outlineLevel="0" collapsed="false">
      <c r="A15" s="2" t="s">
        <v>103</v>
      </c>
      <c r="B15" s="2" t="s">
        <v>104</v>
      </c>
      <c r="C15" s="3" t="s">
        <v>105</v>
      </c>
      <c r="D15" s="3" t="s">
        <v>87</v>
      </c>
      <c r="E15" s="3" t="s">
        <v>106</v>
      </c>
      <c r="F15" s="3" t="s">
        <v>107</v>
      </c>
      <c r="G15" s="3" t="s">
        <v>108</v>
      </c>
      <c r="H15" s="2" t="n">
        <v>8</v>
      </c>
      <c r="I15" s="2" t="s">
        <v>20</v>
      </c>
      <c r="J15" s="2" t="s">
        <v>64</v>
      </c>
      <c r="K15" s="3" t="s">
        <v>65</v>
      </c>
      <c r="L15" s="2" t="s">
        <v>31</v>
      </c>
      <c r="M15" s="2" t="s">
        <v>42</v>
      </c>
    </row>
    <row r="16" customFormat="false" ht="78" hidden="false" customHeight="true" outlineLevel="0" collapsed="false">
      <c r="A16" s="2" t="s">
        <v>109</v>
      </c>
      <c r="B16" s="2" t="s">
        <v>110</v>
      </c>
      <c r="C16" s="3" t="s">
        <v>111</v>
      </c>
      <c r="D16" s="3" t="s">
        <v>16</v>
      </c>
      <c r="E16" s="3" t="s">
        <v>112</v>
      </c>
      <c r="F16" s="3" t="s">
        <v>113</v>
      </c>
      <c r="G16" s="3" t="s">
        <v>114</v>
      </c>
      <c r="H16" s="2" t="n">
        <v>5</v>
      </c>
      <c r="I16" s="2" t="s">
        <v>20</v>
      </c>
      <c r="J16" s="2" t="s">
        <v>21</v>
      </c>
      <c r="K16" s="3" t="s">
        <v>22</v>
      </c>
      <c r="L16" s="2" t="s">
        <v>31</v>
      </c>
      <c r="M16" s="2" t="s">
        <v>42</v>
      </c>
    </row>
    <row r="18" customFormat="false" ht="15" hidden="false" customHeight="false" outlineLevel="0" collapsed="false">
      <c r="G18" s="4" t="s">
        <v>115</v>
      </c>
      <c r="H18" s="5" t="n">
        <f aca="false">SUM(H2:H16)</f>
        <v>92</v>
      </c>
    </row>
  </sheetData>
  <dataValidations count="3">
    <dataValidation allowBlank="true" errorStyle="stop" operator="between" showDropDown="false" showErrorMessage="false" showInputMessage="false" sqref="L2:L40" type="list">
      <formula1>"Pendiente,En progreso,En revisión,Terminado"</formula1>
      <formula2>0</formula2>
    </dataValidation>
    <dataValidation allowBlank="true" errorStyle="stop" operator="between" showDropDown="false" showErrorMessage="false" showInputMessage="false" sqref="I2:I40" type="list">
      <formula1>"Debe,Debería,Podría,No por ahora"</formula1>
      <formula2>0</formula2>
    </dataValidation>
    <dataValidation allowBlank="true" errorStyle="stop" operator="between" showDropDown="false" showErrorMessage="false" showInputMessage="false" sqref="H2:H40" type="list">
      <formula1>"1,2,3,5,8,13,21"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33.75" hidden="false" customHeight="true" outlineLevel="0" collapsed="false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11</v>
      </c>
    </row>
    <row r="2" customFormat="false" ht="31.5" hidden="false" customHeight="true" outlineLevel="0" collapsed="false">
      <c r="A2" s="6" t="s">
        <v>122</v>
      </c>
      <c r="B2" s="3" t="s">
        <v>123</v>
      </c>
      <c r="C2" s="3" t="s">
        <v>124</v>
      </c>
      <c r="D2" s="3" t="s">
        <v>125</v>
      </c>
      <c r="E2" s="3" t="s">
        <v>126</v>
      </c>
      <c r="F2" s="6" t="s">
        <v>13</v>
      </c>
      <c r="G2" s="6" t="s">
        <v>127</v>
      </c>
    </row>
    <row r="3" customFormat="false" ht="31.5" hidden="false" customHeight="true" outlineLevel="0" collapsed="false">
      <c r="A3" s="6" t="s">
        <v>128</v>
      </c>
      <c r="B3" s="3" t="s">
        <v>129</v>
      </c>
      <c r="C3" s="3" t="s">
        <v>124</v>
      </c>
      <c r="D3" s="3" t="s">
        <v>130</v>
      </c>
      <c r="E3" s="3" t="s">
        <v>131</v>
      </c>
      <c r="F3" s="6" t="s">
        <v>25</v>
      </c>
      <c r="G3" s="6" t="s">
        <v>127</v>
      </c>
    </row>
    <row r="4" customFormat="false" ht="31.5" hidden="false" customHeight="true" outlineLevel="0" collapsed="false">
      <c r="A4" s="6" t="s">
        <v>132</v>
      </c>
      <c r="B4" s="3" t="s">
        <v>133</v>
      </c>
      <c r="C4" s="3" t="s">
        <v>124</v>
      </c>
      <c r="D4" s="3" t="s">
        <v>130</v>
      </c>
      <c r="E4" s="3" t="s">
        <v>134</v>
      </c>
      <c r="F4" s="6" t="s">
        <v>33</v>
      </c>
      <c r="G4" s="6" t="s">
        <v>127</v>
      </c>
    </row>
    <row r="5" customFormat="false" ht="31.5" hidden="false" customHeight="true" outlineLevel="0" collapsed="false">
      <c r="A5" s="6" t="s">
        <v>135</v>
      </c>
      <c r="B5" s="3" t="s">
        <v>136</v>
      </c>
      <c r="C5" s="3" t="s">
        <v>124</v>
      </c>
      <c r="D5" s="3" t="s">
        <v>130</v>
      </c>
      <c r="E5" s="3" t="s">
        <v>131</v>
      </c>
      <c r="F5" s="6" t="s">
        <v>43</v>
      </c>
      <c r="G5" s="6" t="s">
        <v>127</v>
      </c>
    </row>
    <row r="6" customFormat="false" ht="31.5" hidden="false" customHeight="true" outlineLevel="0" collapsed="false">
      <c r="A6" s="6" t="s">
        <v>137</v>
      </c>
      <c r="B6" s="3" t="s">
        <v>138</v>
      </c>
      <c r="C6" s="3" t="s">
        <v>124</v>
      </c>
      <c r="D6" s="3" t="s">
        <v>130</v>
      </c>
      <c r="E6" s="3" t="s">
        <v>131</v>
      </c>
      <c r="F6" s="6" t="s">
        <v>48</v>
      </c>
      <c r="G6" s="6" t="s">
        <v>127</v>
      </c>
    </row>
    <row r="7" customFormat="false" ht="31.5" hidden="false" customHeight="true" outlineLevel="0" collapsed="false">
      <c r="A7" s="6" t="s">
        <v>139</v>
      </c>
      <c r="B7" s="3" t="s">
        <v>140</v>
      </c>
      <c r="C7" s="3" t="s">
        <v>124</v>
      </c>
      <c r="D7" s="3" t="s">
        <v>130</v>
      </c>
      <c r="E7" s="3" t="s">
        <v>131</v>
      </c>
      <c r="F7" s="6" t="s">
        <v>53</v>
      </c>
      <c r="G7" s="6" t="s">
        <v>127</v>
      </c>
    </row>
    <row r="8" customFormat="false" ht="31.5" hidden="false" customHeight="true" outlineLevel="0" collapsed="false">
      <c r="A8" s="6" t="s">
        <v>141</v>
      </c>
      <c r="B8" s="3" t="s">
        <v>142</v>
      </c>
      <c r="C8" s="3" t="s">
        <v>124</v>
      </c>
      <c r="D8" s="3" t="s">
        <v>125</v>
      </c>
      <c r="E8" s="3" t="s">
        <v>134</v>
      </c>
      <c r="F8" s="6" t="s">
        <v>59</v>
      </c>
      <c r="G8" s="6" t="s">
        <v>143</v>
      </c>
    </row>
    <row r="9" customFormat="false" ht="31.5" hidden="false" customHeight="true" outlineLevel="0" collapsed="false">
      <c r="A9" s="6" t="s">
        <v>144</v>
      </c>
      <c r="B9" s="3" t="s">
        <v>145</v>
      </c>
      <c r="C9" s="3" t="s">
        <v>124</v>
      </c>
      <c r="D9" s="3" t="s">
        <v>130</v>
      </c>
      <c r="E9" s="3" t="s">
        <v>131</v>
      </c>
      <c r="F9" s="6" t="s">
        <v>66</v>
      </c>
      <c r="G9" s="6" t="s">
        <v>146</v>
      </c>
    </row>
    <row r="10" customFormat="false" ht="31.5" hidden="false" customHeight="true" outlineLevel="0" collapsed="false">
      <c r="A10" s="6" t="s">
        <v>147</v>
      </c>
      <c r="B10" s="3" t="s">
        <v>148</v>
      </c>
      <c r="C10" s="3" t="s">
        <v>124</v>
      </c>
      <c r="D10" s="3" t="s">
        <v>130</v>
      </c>
      <c r="E10" s="3" t="s">
        <v>134</v>
      </c>
      <c r="F10" s="6" t="s">
        <v>72</v>
      </c>
      <c r="G10" s="6" t="s">
        <v>146</v>
      </c>
    </row>
    <row r="11" customFormat="false" ht="31.5" hidden="false" customHeight="true" outlineLevel="0" collapsed="false">
      <c r="A11" s="6" t="s">
        <v>149</v>
      </c>
      <c r="B11" s="3" t="s">
        <v>150</v>
      </c>
      <c r="C11" s="3" t="s">
        <v>124</v>
      </c>
      <c r="D11" s="3" t="s">
        <v>125</v>
      </c>
      <c r="E11" s="3" t="s">
        <v>151</v>
      </c>
      <c r="F11" s="6" t="s">
        <v>78</v>
      </c>
      <c r="G11" s="6" t="s">
        <v>143</v>
      </c>
    </row>
    <row r="12" customFormat="false" ht="31.5" hidden="false" customHeight="true" outlineLevel="0" collapsed="false">
      <c r="A12" s="6" t="s">
        <v>152</v>
      </c>
      <c r="B12" s="3" t="s">
        <v>153</v>
      </c>
      <c r="C12" s="3" t="s">
        <v>124</v>
      </c>
      <c r="D12" s="3" t="s">
        <v>125</v>
      </c>
      <c r="E12" s="3" t="s">
        <v>154</v>
      </c>
      <c r="F12" s="6" t="s">
        <v>85</v>
      </c>
      <c r="G12" s="6" t="s">
        <v>127</v>
      </c>
    </row>
    <row r="13" customFormat="false" ht="31.5" hidden="false" customHeight="true" outlineLevel="0" collapsed="false">
      <c r="A13" s="6" t="s">
        <v>155</v>
      </c>
      <c r="B13" s="3" t="s">
        <v>156</v>
      </c>
      <c r="C13" s="3" t="s">
        <v>124</v>
      </c>
      <c r="D13" s="3" t="s">
        <v>130</v>
      </c>
      <c r="E13" s="3" t="s">
        <v>154</v>
      </c>
      <c r="F13" s="6" t="s">
        <v>92</v>
      </c>
      <c r="G13" s="6" t="s">
        <v>127</v>
      </c>
    </row>
    <row r="14" customFormat="false" ht="31.5" hidden="false" customHeight="true" outlineLevel="0" collapsed="false">
      <c r="A14" s="6" t="s">
        <v>157</v>
      </c>
      <c r="B14" s="3" t="s">
        <v>158</v>
      </c>
      <c r="C14" s="3" t="s">
        <v>124</v>
      </c>
      <c r="D14" s="3" t="s">
        <v>130</v>
      </c>
      <c r="E14" s="3" t="s">
        <v>159</v>
      </c>
      <c r="F14" s="6" t="s">
        <v>98</v>
      </c>
      <c r="G14" s="6" t="s">
        <v>127</v>
      </c>
    </row>
    <row r="15" customFormat="false" ht="31.5" hidden="false" customHeight="true" outlineLevel="0" collapsed="false">
      <c r="A15" s="6" t="s">
        <v>160</v>
      </c>
      <c r="B15" s="3" t="s">
        <v>161</v>
      </c>
      <c r="C15" s="3" t="s">
        <v>162</v>
      </c>
      <c r="D15" s="3" t="s">
        <v>163</v>
      </c>
      <c r="E15" s="3" t="s">
        <v>126</v>
      </c>
      <c r="F15" s="6" t="s">
        <v>103</v>
      </c>
      <c r="G15" s="6" t="s">
        <v>127</v>
      </c>
    </row>
    <row r="16" customFormat="false" ht="31.5" hidden="false" customHeight="true" outlineLevel="0" collapsed="false">
      <c r="A16" s="6" t="s">
        <v>164</v>
      </c>
      <c r="B16" s="3" t="s">
        <v>165</v>
      </c>
      <c r="C16" s="3" t="s">
        <v>162</v>
      </c>
      <c r="D16" s="3" t="s">
        <v>163</v>
      </c>
      <c r="E16" s="3" t="s">
        <v>126</v>
      </c>
      <c r="F16" s="6" t="s">
        <v>109</v>
      </c>
      <c r="G16" s="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" t="s">
        <v>9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11</v>
      </c>
    </row>
    <row r="2" customFormat="false" ht="49.5" hidden="false" customHeight="true" outlineLevel="0" collapsed="false">
      <c r="A2" s="6" t="s">
        <v>21</v>
      </c>
      <c r="B2" s="3" t="s">
        <v>170</v>
      </c>
      <c r="C2" s="6" t="s">
        <v>171</v>
      </c>
      <c r="D2" s="3" t="s">
        <v>172</v>
      </c>
      <c r="E2" s="6" t="n">
        <f aca="false">SUMIF('Historias de Usuario'!J2:J16,"Sprint 1",'Historias de Usuario'!H2:H16)</f>
        <v>66</v>
      </c>
      <c r="F2" s="6" t="s">
        <v>23</v>
      </c>
    </row>
    <row r="3" customFormat="false" ht="49.5" hidden="false" customHeight="true" outlineLevel="0" collapsed="false">
      <c r="A3" s="6" t="s">
        <v>64</v>
      </c>
      <c r="B3" s="3" t="s">
        <v>173</v>
      </c>
      <c r="C3" s="6" t="s">
        <v>174</v>
      </c>
      <c r="D3" s="3" t="s">
        <v>175</v>
      </c>
      <c r="E3" s="6" t="n">
        <f aca="false">SUMIF('Historias de Usuario'!J2:J16,"Sprint 2",'Historias de Usuario'!H2:H16)</f>
        <v>26</v>
      </c>
      <c r="F3" s="6" t="s">
        <v>31</v>
      </c>
    </row>
    <row r="4" customFormat="false" ht="49.5" hidden="false" customHeight="true" outlineLevel="0" collapsed="false">
      <c r="A4" s="6" t="s">
        <v>176</v>
      </c>
      <c r="B4" s="3" t="s">
        <v>177</v>
      </c>
      <c r="C4" s="6" t="s">
        <v>178</v>
      </c>
      <c r="D4" s="3" t="s">
        <v>179</v>
      </c>
      <c r="E4" s="6" t="n">
        <v>0</v>
      </c>
      <c r="F4" s="6" t="s">
        <v>31</v>
      </c>
    </row>
    <row r="6" customFormat="false" ht="39.75" hidden="false" customHeight="true" outlineLevel="0" collapsed="false">
      <c r="A6" s="7" t="s">
        <v>180</v>
      </c>
      <c r="B6" s="8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9" t="s">
        <v>182</v>
      </c>
    </row>
    <row r="3" customFormat="false" ht="61.5" hidden="false" customHeight="true" outlineLevel="0" collapsed="false">
      <c r="A3" s="10" t="s">
        <v>183</v>
      </c>
      <c r="B3" s="3" t="s">
        <v>184</v>
      </c>
    </row>
    <row r="4" customFormat="false" ht="61.5" hidden="false" customHeight="true" outlineLevel="0" collapsed="false">
      <c r="A4" s="10" t="s">
        <v>6</v>
      </c>
      <c r="B4" s="3" t="s">
        <v>185</v>
      </c>
    </row>
    <row r="5" customFormat="false" ht="61.5" hidden="false" customHeight="true" outlineLevel="0" collapsed="false">
      <c r="A5" s="10" t="s">
        <v>186</v>
      </c>
      <c r="B5" s="3" t="s">
        <v>187</v>
      </c>
    </row>
    <row r="6" customFormat="false" ht="61.5" hidden="false" customHeight="true" outlineLevel="0" collapsed="false">
      <c r="A6" s="10" t="s">
        <v>188</v>
      </c>
      <c r="B6" s="3" t="s">
        <v>189</v>
      </c>
    </row>
    <row r="7" customFormat="false" ht="61.5" hidden="false" customHeight="true" outlineLevel="0" collapsed="false">
      <c r="A7" s="10" t="s">
        <v>9</v>
      </c>
      <c r="B7" s="3" t="s">
        <v>190</v>
      </c>
    </row>
    <row r="8" customFormat="false" ht="61.5" hidden="false" customHeight="true" outlineLevel="0" collapsed="false">
      <c r="A8" s="10" t="s">
        <v>11</v>
      </c>
      <c r="B8" s="3" t="s">
        <v>191</v>
      </c>
    </row>
    <row r="9" customFormat="false" ht="61.5" hidden="false" customHeight="true" outlineLevel="0" collapsed="false">
      <c r="A9" s="10" t="s">
        <v>192</v>
      </c>
      <c r="B9" s="3" t="s">
        <v>193</v>
      </c>
    </row>
    <row r="10" customFormat="false" ht="61.5" hidden="false" customHeight="true" outlineLevel="0" collapsed="false">
      <c r="A10" s="10" t="s">
        <v>194</v>
      </c>
      <c r="B10" s="3" t="s">
        <v>195</v>
      </c>
    </row>
    <row r="12" customFormat="false" ht="43.5" hidden="false" customHeight="true" outlineLevel="0" collapsed="false">
      <c r="A12" s="7" t="s">
        <v>196</v>
      </c>
      <c r="B12" s="11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2026-09-04T16:36:04Z</dcterms:created>
  <dc:creator>openpyxl</dc:creator>
  <dc:description/>
  <dc:language>en-US</dc:language>
  <cp:lastModifiedBy/>
  <dcterms:modified xsi:type="dcterms:W3CDTF">2026-09-04T16:36:04Z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